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 Me" sheetId="1" state="visible" r:id="rId3"/>
    <sheet name="Team" sheetId="2" state="visible" r:id="rId4"/>
    <sheet name="Data" sheetId="3" state="visible" r:id="rId5"/>
    <sheet name="Chart counts" sheetId="4" state="visible" r:id="rId6"/>
    <sheet name="Vocabula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<sst xmlns="http://schemas.openxmlformats.org/spreadsheetml/2006/main" count="263" uniqueCount="144">
  <si>
    <t xml:space="preserve">Judgment Content Analysis · Dataset template</t>
  </si>
  <si>
    <t xml:space="preserve">How to use this file</t>
  </si>
  <si>
    <t xml:space="preserve">1. Fill the Team sheet.</t>
  </si>
  <si>
    <t xml:space="preserve">2. In the Data sheet, enter one row per judgment starting at row 6. Row 5 is a made-up example showing the format; leave it as it is.</t>
  </si>
  <si>
    <t xml:space="preserve">3. Pale yellow cells are yours to fill. Dropdown columns accept only the listed values (see the Vocabularies sheet). Do not add, delete or reorder columns.</t>
  </si>
  <si>
    <t xml:space="preserve">4. When done, rename this file data.xlsx. Also save the Data sheet as data.csv (File &gt; Save As &gt; CSV). Upload both to your GitHub repository.</t>
  </si>
  <si>
    <t xml:space="preserve">5. Read the Option 2 Guide for the column meanings, the charts, GitHub steps and the README.</t>
  </si>
  <si>
    <t xml:space="preserve">Team information</t>
  </si>
  <si>
    <t xml:space="preserve">Topic</t>
  </si>
  <si>
    <t xml:space="preserve">Bail in Money-Laundering (PMLA) Cases in the Supreme Court of India: Visualising Doctrinal Evolution, 2021 to 2026</t>
  </si>
  <si>
    <t xml:space="preserve">Court</t>
  </si>
  <si>
    <t xml:space="preserve">Supreme Court of India</t>
  </si>
  <si>
    <t xml:space="preserve">Team name</t>
  </si>
  <si>
    <t xml:space="preserve">GitHub repository link</t>
  </si>
  <si>
    <t xml:space="preserve">Member 1 · name and section</t>
  </si>
  <si>
    <t xml:space="preserve">Siddharth Shekhar · [add section]</t>
  </si>
  <si>
    <t xml:space="preserve">Member 2 · name and section</t>
  </si>
  <si>
    <t xml:space="preserve">Member 3 · name and section (if any)</t>
  </si>
  <si>
    <t xml:space="preserve">Member 4 · name and section (if any)</t>
  </si>
  <si>
    <t xml:space="preserve">Date completed (DD-MM-YYYY)</t>
  </si>
  <si>
    <t xml:space="preserve">Data · one row per judgment</t>
  </si>
  <si>
    <t xml:space="preserve">Row 5 is a made-up example. Your judgments start at row 6. Enter 10 to 20 judgments decided between 01-09-2021 and 31-08-2026. See the Option 2 Guide, section 4.</t>
  </si>
  <si>
    <t xml:space="preserve">#</t>
  </si>
  <si>
    <t xml:space="preserve">Case name</t>
  </si>
  <si>
    <t xml:space="preserve">Citation or case number</t>
  </si>
  <si>
    <t xml:space="preserve">Date of decision (DD-MM-YYYY)</t>
  </si>
  <si>
    <t xml:space="preserve">Year</t>
  </si>
  <si>
    <t xml:space="preserve">Bench strength</t>
  </si>
  <si>
    <t xml:space="preserve">Type of case</t>
  </si>
  <si>
    <t xml:space="preserve">Who brought the case</t>
  </si>
  <si>
    <t xml:space="preserve">Outcome</t>
  </si>
  <si>
    <t xml:space="preserve">Who won</t>
  </si>
  <si>
    <t xml:space="preserve">Main provision</t>
  </si>
  <si>
    <t xml:space="preserve">Issue in one line</t>
  </si>
  <si>
    <t xml:space="preserve">Holding in one line</t>
  </si>
  <si>
    <t xml:space="preserve">Precedent chiefly relied on</t>
  </si>
  <si>
    <t xml:space="preserve">Source link (official copy)</t>
  </si>
  <si>
    <t xml:space="preserve">Coded by</t>
  </si>
  <si>
    <t xml:space="preserve">EX</t>
  </si>
  <si>
    <t xml:space="preserve">Example Petitioner v. State of Maharashtra (made-up)</t>
  </si>
  <si>
    <t xml:space="preserve">2024 INSC 000 (made-up)</t>
  </si>
  <si>
    <t xml:space="preserve">15-03-2024</t>
  </si>
  <si>
    <t xml:space="preserve">Criminal appeal</t>
  </si>
  <si>
    <t xml:space="preserve">Individual</t>
  </si>
  <si>
    <t xml:space="preserve">Allowed</t>
  </si>
  <si>
    <t xml:space="preserve">s 438 CrPC</t>
  </si>
  <si>
    <t xml:space="preserve">Whether anticipatory bail can be limited to a fixed period.</t>
  </si>
  <si>
    <t xml:space="preserve">Bail granted; protection ordinarily lasts till the end of trial.</t>
  </si>
  <si>
    <t xml:space="preserve">Sushila Aggarwal v. State (NCT of Delhi)</t>
  </si>
  <si>
    <t xml:space="preserve">https://www.sci.gov.in/judgements/ (made-up)</t>
  </si>
  <si>
    <t xml:space="preserve">A. Deshmukh</t>
  </si>
  <si>
    <t xml:space="preserve">Vijay Madanlal Choudhary v. Union of India</t>
  </si>
  <si>
    <t xml:space="preserve">2022 SCC OnLine SC 929</t>
  </si>
  <si>
    <t xml:space="preserve">27-07-2022</t>
  </si>
  <si>
    <t xml:space="preserve">Writ petition</t>
  </si>
  <si>
    <t xml:space="preserve">Dismissed</t>
  </si>
  <si>
    <t xml:space="preserve">State or public body</t>
  </si>
  <si>
    <t xml:space="preserve">s 45 PMLA</t>
  </si>
  <si>
    <t xml:space="preserve">Whether the twin conditions for bail in s 45 PMLA are constitutionally valid.</t>
  </si>
  <si>
    <t xml:space="preserve">Twin conditions upheld as a reasonable regime for a special law on money laundering; they apply whatever form the bail relief takes.</t>
  </si>
  <si>
    <t xml:space="preserve">Nikesh Tarachand Shah v. Union of India (2018) 11 SCC 1 [VERIFY]</t>
  </si>
  <si>
    <t xml:space="preserve">ADD OFFICIAL LINK (sci.gov.in)</t>
  </si>
  <si>
    <t xml:space="preserve">Manish Sisodia v. Central Bureau of Investigation (Sisodia I)</t>
  </si>
  <si>
    <t xml:space="preserve">Crl. A. No. 3351 of 2023 [VERIFY]</t>
  </si>
  <si>
    <t xml:space="preserve">30-10-2023</t>
  </si>
  <si>
    <t xml:space="preserve">s 45 PMLA; s 439 CrPC</t>
  </si>
  <si>
    <t xml:space="preserve">Whether bail should be granted to a former Delhi Deputy Chief Minister in the excise-policy case.</t>
  </si>
  <si>
    <t xml:space="preserve">Bail refused at that stage, with liberty to apply again after about three months if the trial was slow.</t>
  </si>
  <si>
    <t xml:space="preserve">[VERIFY]</t>
  </si>
  <si>
    <t xml:space="preserve">Tarsem Lal v. Directorate of Enforcement</t>
  </si>
  <si>
    <t xml:space="preserve">2024 INSC 434</t>
  </si>
  <si>
    <t xml:space="preserve">16-05-2024</t>
  </si>
  <si>
    <t xml:space="preserve">Whether an accused who appears on a summons after the Special Court takes cognizance must satisfy the twin conditions.</t>
  </si>
  <si>
    <t xml:space="preserve">No; such an accused is not in custody, so the ED cannot arrest him without the court's permission and ordinary bail law applies.</t>
  </si>
  <si>
    <t xml:space="preserve">Manish Sisodia v. Directorate of Enforcement (Sisodia II)</t>
  </si>
  <si>
    <t xml:space="preserve">2024 INSC 595</t>
  </si>
  <si>
    <t xml:space="preserve">09-08-2024</t>
  </si>
  <si>
    <t xml:space="preserve">s 45 PMLA; Art 21</t>
  </si>
  <si>
    <t xml:space="preserve">Whether about 17 months in custody with no prospect of an early trial justifies bail despite s 45.</t>
  </si>
  <si>
    <t xml:space="preserve">Bail granted; the right to speedy trial under Art 21 prevails when trial cannot realistically start soon.</t>
  </si>
  <si>
    <t xml:space="preserve">Union of India v. K.A. Najeeb (2021) [VERIFY]</t>
  </si>
  <si>
    <t xml:space="preserve">K. Kavitha v. Directorate of Enforcement</t>
  </si>
  <si>
    <t xml:space="preserve">2024 SCC OnLine SC 2269</t>
  </si>
  <si>
    <t xml:space="preserve">27-08-2024</t>
  </si>
  <si>
    <t xml:space="preserve">s 45 PMLA (woman proviso)</t>
  </si>
  <si>
    <t xml:space="preserve">Whether bail was wrongly refused to a woman accused under the first proviso to s 45(1).</t>
  </si>
  <si>
    <t xml:space="preserve">Bail granted; the proviso for women and the Sisodia reasoning on custody and delay were applied.</t>
  </si>
  <si>
    <t xml:space="preserve">Manish Sisodia v. Directorate of Enforcement (2024) [VERIFY]</t>
  </si>
  <si>
    <t xml:space="preserve">Prem Prakash v. Union of India</t>
  </si>
  <si>
    <t xml:space="preserve">2024 INSC 637</t>
  </si>
  <si>
    <t xml:space="preserve">28-08-2024</t>
  </si>
  <si>
    <t xml:space="preserve">Whether long custody and a slow trial justify bail without satisfying the twin conditions.</t>
  </si>
  <si>
    <t xml:space="preserve">Bail granted; s 45 was read together with Art 21 and the principle that bail is the rule. [VERIFY]</t>
  </si>
  <si>
    <t xml:space="preserve">Manish Sisodia v. Directorate of Enforcement (2024)</t>
  </si>
  <si>
    <t xml:space="preserve">V. Senthil Balaji v. Deputy Director, Directorate of Enforcement</t>
  </si>
  <si>
    <t xml:space="preserve">2024 INSC 739</t>
  </si>
  <si>
    <t xml:space="preserve">26-09-2024</t>
  </si>
  <si>
    <t xml:space="preserve">Whether a former minister held for about 15 months should get bail when the trial is unlikely to end soon.</t>
  </si>
  <si>
    <t xml:space="preserve">Bail granted; where the maximum sentence is seven years, prolonged pre-trial custody can outweigh the statutory restriction.</t>
  </si>
  <si>
    <t xml:space="preserve">Padam Chand Jain v. Directorate of Enforcement</t>
  </si>
  <si>
    <t xml:space="preserve">SLP (Crl) no. [VERIFY]</t>
  </si>
  <si>
    <t xml:space="preserve">16-01-2025</t>
  </si>
  <si>
    <t xml:space="preserve">SLP</t>
  </si>
  <si>
    <t xml:space="preserve">Whether bail can follow the Sisodia reasoning when co-accused are already out and evidence is mostly documentary.</t>
  </si>
  <si>
    <t xml:space="preserve">Bail granted; twin conditions cannot override Art 21, and Sisodia's bail was not an Art 142 order.</t>
  </si>
  <si>
    <t xml:space="preserve">Directorate of Enforcement v. Subhash Sharma</t>
  </si>
  <si>
    <t xml:space="preserve">2025 INSC 141</t>
  </si>
  <si>
    <t xml:space="preserve">21-01-2025</t>
  </si>
  <si>
    <t xml:space="preserve">s 45 PMLA; Arts 21, 22</t>
  </si>
  <si>
    <t xml:space="preserve">Whether bail can be refused for failing the twin conditions when the arrest itself was illegal.</t>
  </si>
  <si>
    <t xml:space="preserve">No; if the arrest violated Arts 21 and 22, the court must grant bail whether or not the twin conditions are met.</t>
  </si>
  <si>
    <t xml:space="preserve">Union of India v. Kanhaiya Prasad</t>
  </si>
  <si>
    <t xml:space="preserve">2025 INSC 210 (Crl. A. No. 728 of 2025)</t>
  </si>
  <si>
    <t xml:space="preserve">13-02-2025</t>
  </si>
  <si>
    <t xml:space="preserve">Whether a High Court can grant bail without recording satisfaction on the twin conditions.</t>
  </si>
  <si>
    <t xml:space="preserve">No; the twin conditions are mandatory, so the bail order was set aside, remanded to another bench and the accused told to surrender.</t>
  </si>
  <si>
    <t xml:space="preserve">Vijay Madanlal Choudhary v. Union of India (2022)</t>
  </si>
  <si>
    <t xml:space="preserve">https://api.sci.gov.in/supremecourt/2024/22780/22780_2024_9_1501_59321_Judgement_13-Feb-2025.pdf</t>
  </si>
  <si>
    <t xml:space="preserve">Udhaw Singh v. Directorate of Enforcement</t>
  </si>
  <si>
    <t xml:space="preserve">2025 INSC 247</t>
  </si>
  <si>
    <t xml:space="preserve">17-02-2025</t>
  </si>
  <si>
    <t xml:space="preserve">Whether over a year in custody with a distant trial justifies bail despite s 45.</t>
  </si>
  <si>
    <t xml:space="preserve">Bail granted; constitutional courts may grant bail under PMLA when the trial will be unduly delayed; Kanhaiya Prasad distinguished.</t>
  </si>
  <si>
    <t xml:space="preserve">V. Senthil Balaji v. Deputy Director, ED (2024)</t>
  </si>
  <si>
    <t xml:space="preserve">Arvind Dham v. Directorate of Enforcement</t>
  </si>
  <si>
    <t xml:space="preserve">2026 INSC 12</t>
  </si>
  <si>
    <t xml:space="preserve">06-01-2026</t>
  </si>
  <si>
    <t xml:space="preserve">Whether about 16 months in custody with no cognizance taken justifies bail in a large bank-fraud money-laundering case.</t>
  </si>
  <si>
    <t xml:space="preserve">Bail granted; speedy trial under Art 21 is not eclipsed by the nature of the offence, and economic offences are not one class.</t>
  </si>
  <si>
    <t xml:space="preserve">Directorate of Enforcement v. Aditya Tripathi</t>
  </si>
  <si>
    <t xml:space="preserve">ADD CITATION</t>
  </si>
  <si>
    <t xml:space="preserve">VERIFY (reported 07-08-2026)</t>
  </si>
  <si>
    <t xml:space="preserve">Whether a High Court could grant bail without applying s 45 merely because the investigation was done and a charge sheet filed.</t>
  </si>
  <si>
    <t xml:space="preserve">High Court bail orders set aside and the bail pleas sent back for fresh decision under s 45.</t>
  </si>
  <si>
    <t xml:space="preserve">Counts for your charts (these update automatically from the Data sheet)</t>
  </si>
  <si>
    <t xml:space="preserve">Select a table below, then Insert &gt; Chart in Excel or Google Sheets. Save each chart as PNG.</t>
  </si>
  <si>
    <t xml:space="preserve">Judgments</t>
  </si>
  <si>
    <t xml:space="preserve">Partly allowed</t>
  </si>
  <si>
    <t xml:space="preserve">Other</t>
  </si>
  <si>
    <t xml:space="preserve">Company</t>
  </si>
  <si>
    <t xml:space="preserve">Association or NGO</t>
  </si>
  <si>
    <t xml:space="preserve">Mixed or unclear</t>
  </si>
  <si>
    <t xml:space="preserve">Civil appeal</t>
  </si>
  <si>
    <t xml:space="preserve">Lists used by the dropdowns (do not edit)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</si>
</sst>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431"/>
      <name val="Arial"/>
      <family val="2"/>
      <charset val="1"/>
    </font>
    <font>
      <sz val="9"/>
      <name val="Arial"/>
      <family val="2"/>
      <charset val="1"/>
    </font>
    <font>
      <b val="true"/>
      <sz val="12"/>
      <color rgb="FF1B2431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1B2431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5A6472"/>
      <name val="Arial"/>
      <family val="2"/>
      <charset val="1"/>
    </font>
    <font>
      <b val="true"/>
      <sz val="9"/>
      <color rgb="FFFFFF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2F2F0"/>
      </patternFill>
    </fill>
    <fill>
      <patternFill patternType="solid">
        <fgColor rgb="FF1B2431"/>
        <bgColor rgb="FF333300"/>
      </patternFill>
    </fill>
    <fill>
      <patternFill patternType="solid">
        <fgColor rgb="FFF2F2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F2F2F0"/>
      <rgbColor rgb="FF660066"/>
      <rgbColor rgb="FFFF8080"/>
      <rgbColor rgb="FF0066CC"/>
      <rgbColor rgb="FFD0D4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36" hidden="false" customHeight="true" outlineLevel="0" collapsed="false">
      <c r="B2" s="1" t="s">
        <v>0</v>
      </c>
    </row>
    <row r="3" customFormat="false" ht="15.75" hidden="false" customHeight="true" outlineLevel="0" collapsed="false">
      <c r="B3" s="2"/>
    </row>
    <row r="4" customFormat="false" ht="18" hidden="false" customHeight="true" outlineLevel="0" collapsed="false">
      <c r="B4" s="3" t="s">
        <v>1</v>
      </c>
    </row>
    <row r="5" customFormat="false" ht="15.75" hidden="false" customHeight="true" outlineLevel="0" collapsed="false">
      <c r="B5" s="4" t="s">
        <v>2</v>
      </c>
    </row>
    <row r="6" customFormat="false" ht="30" hidden="false" customHeight="true" outlineLevel="0" collapsed="false">
      <c r="B6" s="4" t="s">
        <v>3</v>
      </c>
    </row>
    <row r="7" customFormat="false" ht="30" hidden="false" customHeight="true" outlineLevel="0" collapsed="false">
      <c r="B7" s="4" t="s">
        <v>4</v>
      </c>
    </row>
    <row r="8" customFormat="false" ht="30" hidden="false" customHeight="true" outlineLevel="0" collapsed="false">
      <c r="B8" s="4" t="s">
        <v>5</v>
      </c>
    </row>
    <row r="9" customFormat="false" ht="15.75" hidden="false" customHeight="true" outlineLevel="0" collapsed="false">
      <c r="B9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0"/>
  </cols>
  <sheetData>
    <row r="2" customFormat="false" ht="18" hidden="false" customHeight="true" outlineLevel="0" collapsed="false">
      <c r="B2" s="5" t="s">
        <v>7</v>
      </c>
    </row>
    <row r="4" customFormat="false" ht="15" hidden="false" customHeight="false" outlineLevel="0" collapsed="false">
      <c r="B4" s="6" t="s">
        <v>8</v>
      </c>
      <c r="C4" s="7" t="s">
        <v>9</v>
      </c>
    </row>
    <row r="5" customFormat="false" ht="15" hidden="false" customHeight="false" outlineLevel="0" collapsed="false">
      <c r="B5" s="6" t="s">
        <v>10</v>
      </c>
      <c r="C5" s="7" t="s">
        <v>11</v>
      </c>
    </row>
    <row r="6" customFormat="false" ht="15" hidden="false" customHeight="false" outlineLevel="0" collapsed="false">
      <c r="B6" s="6" t="s">
        <v>12</v>
      </c>
      <c r="C6" s="7"/>
    </row>
    <row r="7" customFormat="false" ht="15" hidden="false" customHeight="false" outlineLevel="0" collapsed="false">
      <c r="B7" s="6" t="s">
        <v>13</v>
      </c>
      <c r="C7" s="7"/>
    </row>
    <row r="8" customFormat="false" ht="15" hidden="false" customHeight="false" outlineLevel="0" collapsed="false">
      <c r="B8" s="6" t="s">
        <v>14</v>
      </c>
      <c r="C8" s="7" t="s">
        <v>15</v>
      </c>
    </row>
    <row r="9" customFormat="false" ht="15" hidden="false" customHeight="false" outlineLevel="0" collapsed="false">
      <c r="B9" s="6" t="s">
        <v>16</v>
      </c>
      <c r="C9" s="7"/>
    </row>
    <row r="10" customFormat="false" ht="15" hidden="false" customHeight="false" outlineLevel="0" collapsed="false">
      <c r="B10" s="6" t="s">
        <v>17</v>
      </c>
      <c r="C10" s="7"/>
    </row>
    <row r="11" customFormat="false" ht="15" hidden="false" customHeight="false" outlineLevel="0" collapsed="false">
      <c r="B11" s="6" t="s">
        <v>18</v>
      </c>
      <c r="C11" s="7"/>
    </row>
    <row r="12" customFormat="false" ht="15" hidden="false" customHeight="false" outlineLevel="0" collapsed="false">
      <c r="B12" s="6" t="s">
        <v>19</v>
      </c>
      <c r="C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7" activeCellId="0" sqref="D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40"/>
    <col collapsed="false" customWidth="true" hidden="false" outlineLevel="0" max="14" min="14" style="0" width="28"/>
    <col collapsed="false" customWidth="true" hidden="false" outlineLevel="0" max="15" min="15" style="0" width="30"/>
    <col collapsed="false" customWidth="true" hidden="false" outlineLevel="0" max="16" min="16" style="0" width="16"/>
  </cols>
  <sheetData>
    <row r="1" customFormat="false" ht="18" hidden="false" customHeight="true" outlineLevel="0" collapsed="false">
      <c r="A1" s="5" t="s">
        <v>20</v>
      </c>
    </row>
    <row r="2" customFormat="false" ht="15" hidden="false" customHeight="false" outlineLevel="0" collapsed="false">
      <c r="A2" s="8" t="s">
        <v>21</v>
      </c>
    </row>
    <row r="4" customFormat="false" ht="36" hidden="false" customHeight="true" outlineLevel="0" collapsed="false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  <c r="O4" s="9" t="s">
        <v>36</v>
      </c>
      <c r="P4" s="9" t="s">
        <v>37</v>
      </c>
    </row>
    <row r="5" customFormat="false" ht="45" hidden="false" customHeight="true" outlineLevel="0" collapsed="false">
      <c r="A5" s="10" t="s">
        <v>38</v>
      </c>
      <c r="B5" s="10" t="s">
        <v>39</v>
      </c>
      <c r="C5" s="10" t="s">
        <v>40</v>
      </c>
      <c r="D5" s="10" t="s">
        <v>41</v>
      </c>
      <c r="E5" s="10" t="n">
        <v>2024</v>
      </c>
      <c r="F5" s="10" t="n">
        <v>2</v>
      </c>
      <c r="G5" s="10" t="s">
        <v>42</v>
      </c>
      <c r="H5" s="10" t="s">
        <v>43</v>
      </c>
      <c r="I5" s="10" t="s">
        <v>44</v>
      </c>
      <c r="J5" s="10" t="s">
        <v>43</v>
      </c>
      <c r="K5" s="10" t="s">
        <v>45</v>
      </c>
      <c r="L5" s="10" t="s">
        <v>46</v>
      </c>
      <c r="M5" s="10" t="s">
        <v>47</v>
      </c>
      <c r="N5" s="10" t="s">
        <v>48</v>
      </c>
      <c r="O5" s="10" t="s">
        <v>49</v>
      </c>
      <c r="P5" s="10" t="s">
        <v>50</v>
      </c>
    </row>
    <row r="6" customFormat="false" ht="39.75" hidden="false" customHeight="true" outlineLevel="0" collapsed="false">
      <c r="A6" s="11" t="n">
        <v>1</v>
      </c>
      <c r="B6" s="12" t="s">
        <v>51</v>
      </c>
      <c r="C6" s="12" t="s">
        <v>52</v>
      </c>
      <c r="D6" s="12" t="s">
        <v>53</v>
      </c>
      <c r="E6" s="12" t="n">
        <v>2022</v>
      </c>
      <c r="F6" s="12" t="n">
        <v>3</v>
      </c>
      <c r="G6" s="12" t="s">
        <v>54</v>
      </c>
      <c r="H6" s="12" t="s">
        <v>43</v>
      </c>
      <c r="I6" s="12" t="s">
        <v>55</v>
      </c>
      <c r="J6" s="12" t="s">
        <v>56</v>
      </c>
      <c r="K6" s="12" t="s">
        <v>57</v>
      </c>
      <c r="L6" s="12" t="s">
        <v>58</v>
      </c>
      <c r="M6" s="12" t="s">
        <v>59</v>
      </c>
      <c r="N6" s="12" t="s">
        <v>60</v>
      </c>
      <c r="O6" s="12" t="s">
        <v>61</v>
      </c>
      <c r="P6" s="12"/>
    </row>
    <row r="7" customFormat="false" ht="39.75" hidden="false" customHeight="true" outlineLevel="0" collapsed="false">
      <c r="A7" s="11" t="n">
        <v>2</v>
      </c>
      <c r="B7" s="12" t="s">
        <v>62</v>
      </c>
      <c r="C7" s="12" t="s">
        <v>63</v>
      </c>
      <c r="D7" s="12" t="s">
        <v>64</v>
      </c>
      <c r="E7" s="12" t="n">
        <v>2023</v>
      </c>
      <c r="F7" s="12" t="n">
        <v>2</v>
      </c>
      <c r="G7" s="12" t="s">
        <v>42</v>
      </c>
      <c r="H7" s="12" t="s">
        <v>43</v>
      </c>
      <c r="I7" s="12" t="s">
        <v>55</v>
      </c>
      <c r="J7" s="12" t="s">
        <v>56</v>
      </c>
      <c r="K7" s="12" t="s">
        <v>65</v>
      </c>
      <c r="L7" s="12" t="s">
        <v>66</v>
      </c>
      <c r="M7" s="12" t="s">
        <v>67</v>
      </c>
      <c r="N7" s="12" t="s">
        <v>68</v>
      </c>
      <c r="O7" s="12" t="s">
        <v>61</v>
      </c>
      <c r="P7" s="12"/>
    </row>
    <row r="8" customFormat="false" ht="39.75" hidden="false" customHeight="true" outlineLevel="0" collapsed="false">
      <c r="A8" s="11" t="n">
        <v>3</v>
      </c>
      <c r="B8" s="12" t="s">
        <v>69</v>
      </c>
      <c r="C8" s="12" t="s">
        <v>70</v>
      </c>
      <c r="D8" s="12" t="s">
        <v>71</v>
      </c>
      <c r="E8" s="12" t="n">
        <v>2024</v>
      </c>
      <c r="F8" s="12" t="n">
        <v>2</v>
      </c>
      <c r="G8" s="12" t="s">
        <v>42</v>
      </c>
      <c r="H8" s="12" t="s">
        <v>43</v>
      </c>
      <c r="I8" s="12" t="s">
        <v>44</v>
      </c>
      <c r="J8" s="12" t="s">
        <v>43</v>
      </c>
      <c r="K8" s="12" t="s">
        <v>57</v>
      </c>
      <c r="L8" s="12" t="s">
        <v>72</v>
      </c>
      <c r="M8" s="12" t="s">
        <v>73</v>
      </c>
      <c r="N8" s="12" t="s">
        <v>68</v>
      </c>
      <c r="O8" s="12" t="s">
        <v>61</v>
      </c>
      <c r="P8" s="12"/>
    </row>
    <row r="9" customFormat="false" ht="39.75" hidden="false" customHeight="true" outlineLevel="0" collapsed="false">
      <c r="A9" s="11" t="n">
        <v>4</v>
      </c>
      <c r="B9" s="12" t="s">
        <v>74</v>
      </c>
      <c r="C9" s="12" t="s">
        <v>75</v>
      </c>
      <c r="D9" s="12" t="s">
        <v>76</v>
      </c>
      <c r="E9" s="12" t="n">
        <v>2024</v>
      </c>
      <c r="F9" s="12" t="n">
        <v>2</v>
      </c>
      <c r="G9" s="12" t="s">
        <v>42</v>
      </c>
      <c r="H9" s="12" t="s">
        <v>43</v>
      </c>
      <c r="I9" s="12" t="s">
        <v>44</v>
      </c>
      <c r="J9" s="12" t="s">
        <v>43</v>
      </c>
      <c r="K9" s="12" t="s">
        <v>77</v>
      </c>
      <c r="L9" s="12" t="s">
        <v>78</v>
      </c>
      <c r="M9" s="12" t="s">
        <v>79</v>
      </c>
      <c r="N9" s="12" t="s">
        <v>80</v>
      </c>
      <c r="O9" s="12" t="s">
        <v>61</v>
      </c>
      <c r="P9" s="12"/>
    </row>
    <row r="10" customFormat="false" ht="39.75" hidden="false" customHeight="true" outlineLevel="0" collapsed="false">
      <c r="A10" s="11" t="n">
        <v>5</v>
      </c>
      <c r="B10" s="12" t="s">
        <v>81</v>
      </c>
      <c r="C10" s="12" t="s">
        <v>82</v>
      </c>
      <c r="D10" s="12" t="s">
        <v>83</v>
      </c>
      <c r="E10" s="12" t="n">
        <v>2024</v>
      </c>
      <c r="F10" s="12" t="n">
        <v>2</v>
      </c>
      <c r="G10" s="12" t="s">
        <v>42</v>
      </c>
      <c r="H10" s="12" t="s">
        <v>43</v>
      </c>
      <c r="I10" s="12" t="s">
        <v>44</v>
      </c>
      <c r="J10" s="12" t="s">
        <v>43</v>
      </c>
      <c r="K10" s="12" t="s">
        <v>84</v>
      </c>
      <c r="L10" s="12" t="s">
        <v>85</v>
      </c>
      <c r="M10" s="12" t="s">
        <v>86</v>
      </c>
      <c r="N10" s="12" t="s">
        <v>87</v>
      </c>
      <c r="O10" s="12" t="s">
        <v>61</v>
      </c>
      <c r="P10" s="12"/>
    </row>
    <row r="11" customFormat="false" ht="39.75" hidden="false" customHeight="true" outlineLevel="0" collapsed="false">
      <c r="A11" s="11" t="n">
        <v>6</v>
      </c>
      <c r="B11" s="12" t="s">
        <v>88</v>
      </c>
      <c r="C11" s="12" t="s">
        <v>89</v>
      </c>
      <c r="D11" s="12" t="s">
        <v>90</v>
      </c>
      <c r="E11" s="12" t="n">
        <v>2024</v>
      </c>
      <c r="F11" s="12" t="n">
        <v>2</v>
      </c>
      <c r="G11" s="12" t="s">
        <v>42</v>
      </c>
      <c r="H11" s="12" t="s">
        <v>43</v>
      </c>
      <c r="I11" s="12" t="s">
        <v>44</v>
      </c>
      <c r="J11" s="12" t="s">
        <v>43</v>
      </c>
      <c r="K11" s="12" t="s">
        <v>77</v>
      </c>
      <c r="L11" s="12" t="s">
        <v>91</v>
      </c>
      <c r="M11" s="12" t="s">
        <v>92</v>
      </c>
      <c r="N11" s="12" t="s">
        <v>93</v>
      </c>
      <c r="O11" s="12" t="s">
        <v>61</v>
      </c>
      <c r="P11" s="12"/>
    </row>
    <row r="12" customFormat="false" ht="39.75" hidden="false" customHeight="true" outlineLevel="0" collapsed="false">
      <c r="A12" s="11" t="n">
        <v>7</v>
      </c>
      <c r="B12" s="12" t="s">
        <v>94</v>
      </c>
      <c r="C12" s="12" t="s">
        <v>95</v>
      </c>
      <c r="D12" s="12" t="s">
        <v>96</v>
      </c>
      <c r="E12" s="12" t="n">
        <v>2024</v>
      </c>
      <c r="F12" s="12" t="n">
        <v>2</v>
      </c>
      <c r="G12" s="12" t="s">
        <v>42</v>
      </c>
      <c r="H12" s="12" t="s">
        <v>43</v>
      </c>
      <c r="I12" s="12" t="s">
        <v>44</v>
      </c>
      <c r="J12" s="12" t="s">
        <v>43</v>
      </c>
      <c r="K12" s="12" t="s">
        <v>77</v>
      </c>
      <c r="L12" s="12" t="s">
        <v>97</v>
      </c>
      <c r="M12" s="12" t="s">
        <v>98</v>
      </c>
      <c r="N12" s="12" t="s">
        <v>80</v>
      </c>
      <c r="O12" s="12" t="s">
        <v>61</v>
      </c>
      <c r="P12" s="12"/>
    </row>
    <row r="13" customFormat="false" ht="39.75" hidden="false" customHeight="true" outlineLevel="0" collapsed="false">
      <c r="A13" s="11" t="n">
        <v>8</v>
      </c>
      <c r="B13" s="12" t="s">
        <v>99</v>
      </c>
      <c r="C13" s="12" t="s">
        <v>100</v>
      </c>
      <c r="D13" s="12" t="s">
        <v>101</v>
      </c>
      <c r="E13" s="12" t="n">
        <v>2025</v>
      </c>
      <c r="F13" s="12" t="n">
        <v>3</v>
      </c>
      <c r="G13" s="12" t="s">
        <v>102</v>
      </c>
      <c r="H13" s="12" t="s">
        <v>43</v>
      </c>
      <c r="I13" s="12" t="s">
        <v>44</v>
      </c>
      <c r="J13" s="12" t="s">
        <v>43</v>
      </c>
      <c r="K13" s="12" t="s">
        <v>77</v>
      </c>
      <c r="L13" s="12" t="s">
        <v>103</v>
      </c>
      <c r="M13" s="12" t="s">
        <v>104</v>
      </c>
      <c r="N13" s="12" t="s">
        <v>93</v>
      </c>
      <c r="O13" s="12" t="s">
        <v>61</v>
      </c>
      <c r="P13" s="12"/>
    </row>
    <row r="14" customFormat="false" ht="39.75" hidden="false" customHeight="true" outlineLevel="0" collapsed="false">
      <c r="A14" s="11" t="n">
        <v>9</v>
      </c>
      <c r="B14" s="12" t="s">
        <v>105</v>
      </c>
      <c r="C14" s="12" t="s">
        <v>106</v>
      </c>
      <c r="D14" s="12" t="s">
        <v>107</v>
      </c>
      <c r="E14" s="12" t="n">
        <v>2025</v>
      </c>
      <c r="F14" s="12"/>
      <c r="G14" s="12" t="s">
        <v>42</v>
      </c>
      <c r="H14" s="12" t="s">
        <v>56</v>
      </c>
      <c r="I14" s="12" t="s">
        <v>55</v>
      </c>
      <c r="J14" s="12" t="s">
        <v>43</v>
      </c>
      <c r="K14" s="12" t="s">
        <v>108</v>
      </c>
      <c r="L14" s="12" t="s">
        <v>109</v>
      </c>
      <c r="M14" s="12" t="s">
        <v>110</v>
      </c>
      <c r="N14" s="12" t="s">
        <v>68</v>
      </c>
      <c r="O14" s="12" t="s">
        <v>61</v>
      </c>
      <c r="P14" s="12"/>
    </row>
    <row r="15" customFormat="false" ht="39.75" hidden="false" customHeight="true" outlineLevel="0" collapsed="false">
      <c r="A15" s="11" t="n">
        <v>10</v>
      </c>
      <c r="B15" s="12" t="s">
        <v>111</v>
      </c>
      <c r="C15" s="12" t="s">
        <v>112</v>
      </c>
      <c r="D15" s="12" t="s">
        <v>113</v>
      </c>
      <c r="E15" s="12" t="n">
        <v>2025</v>
      </c>
      <c r="F15" s="12" t="n">
        <v>2</v>
      </c>
      <c r="G15" s="12" t="s">
        <v>42</v>
      </c>
      <c r="H15" s="12" t="s">
        <v>56</v>
      </c>
      <c r="I15" s="12" t="s">
        <v>44</v>
      </c>
      <c r="J15" s="12" t="s">
        <v>56</v>
      </c>
      <c r="K15" s="12" t="s">
        <v>57</v>
      </c>
      <c r="L15" s="12" t="s">
        <v>114</v>
      </c>
      <c r="M15" s="12" t="s">
        <v>115</v>
      </c>
      <c r="N15" s="12" t="s">
        <v>116</v>
      </c>
      <c r="O15" s="12" t="s">
        <v>117</v>
      </c>
      <c r="P15" s="12"/>
    </row>
    <row r="16" customFormat="false" ht="39.75" hidden="false" customHeight="true" outlineLevel="0" collapsed="false">
      <c r="A16" s="11" t="n">
        <v>11</v>
      </c>
      <c r="B16" s="12" t="s">
        <v>118</v>
      </c>
      <c r="C16" s="12" t="s">
        <v>119</v>
      </c>
      <c r="D16" s="12" t="s">
        <v>120</v>
      </c>
      <c r="E16" s="12" t="n">
        <v>2025</v>
      </c>
      <c r="F16" s="12" t="n">
        <v>2</v>
      </c>
      <c r="G16" s="12" t="s">
        <v>42</v>
      </c>
      <c r="H16" s="12" t="s">
        <v>43</v>
      </c>
      <c r="I16" s="12" t="s">
        <v>44</v>
      </c>
      <c r="J16" s="12" t="s">
        <v>43</v>
      </c>
      <c r="K16" s="12" t="s">
        <v>77</v>
      </c>
      <c r="L16" s="12" t="s">
        <v>121</v>
      </c>
      <c r="M16" s="12" t="s">
        <v>122</v>
      </c>
      <c r="N16" s="12" t="s">
        <v>123</v>
      </c>
      <c r="O16" s="12" t="s">
        <v>61</v>
      </c>
      <c r="P16" s="12"/>
    </row>
    <row r="17" customFormat="false" ht="39.75" hidden="false" customHeight="true" outlineLevel="0" collapsed="false">
      <c r="A17" s="11" t="n">
        <v>12</v>
      </c>
      <c r="B17" s="12" t="s">
        <v>124</v>
      </c>
      <c r="C17" s="12" t="s">
        <v>125</v>
      </c>
      <c r="D17" s="12" t="s">
        <v>126</v>
      </c>
      <c r="E17" s="12" t="n">
        <v>2026</v>
      </c>
      <c r="F17" s="12" t="n">
        <v>2</v>
      </c>
      <c r="G17" s="12" t="s">
        <v>42</v>
      </c>
      <c r="H17" s="12" t="s">
        <v>43</v>
      </c>
      <c r="I17" s="12" t="s">
        <v>44</v>
      </c>
      <c r="J17" s="12" t="s">
        <v>43</v>
      </c>
      <c r="K17" s="12" t="s">
        <v>77</v>
      </c>
      <c r="L17" s="12" t="s">
        <v>127</v>
      </c>
      <c r="M17" s="12" t="s">
        <v>128</v>
      </c>
      <c r="N17" s="12" t="s">
        <v>93</v>
      </c>
      <c r="O17" s="12" t="s">
        <v>61</v>
      </c>
      <c r="P17" s="12"/>
    </row>
    <row r="18" customFormat="false" ht="39.75" hidden="false" customHeight="true" outlineLevel="0" collapsed="false">
      <c r="A18" s="11" t="n">
        <v>13</v>
      </c>
      <c r="B18" s="12" t="s">
        <v>129</v>
      </c>
      <c r="C18" s="12" t="s">
        <v>130</v>
      </c>
      <c r="D18" s="12" t="s">
        <v>131</v>
      </c>
      <c r="E18" s="12" t="n">
        <v>2026</v>
      </c>
      <c r="F18" s="12"/>
      <c r="G18" s="12" t="s">
        <v>42</v>
      </c>
      <c r="H18" s="12" t="s">
        <v>56</v>
      </c>
      <c r="I18" s="12" t="s">
        <v>44</v>
      </c>
      <c r="J18" s="12" t="s">
        <v>56</v>
      </c>
      <c r="K18" s="12" t="s">
        <v>57</v>
      </c>
      <c r="L18" s="12" t="s">
        <v>132</v>
      </c>
      <c r="M18" s="12" t="s">
        <v>133</v>
      </c>
      <c r="N18" s="12" t="s">
        <v>68</v>
      </c>
      <c r="O18" s="12" t="s">
        <v>61</v>
      </c>
      <c r="P18" s="12"/>
    </row>
    <row r="19" customFormat="false" ht="39.75" hidden="false" customHeight="true" outlineLevel="0" collapsed="false">
      <c r="A19" s="11" t="n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39.75" hidden="false" customHeight="true" outlineLevel="0" collapsed="false">
      <c r="A20" s="11" t="n">
        <v>15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39.75" hidden="false" customHeight="true" outlineLevel="0" collapsed="false">
      <c r="A21" s="11" t="n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39.75" hidden="false" customHeight="true" outlineLevel="0" collapsed="false">
      <c r="A22" s="11" t="n">
        <v>17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39.75" hidden="false" customHeight="true" outlineLevel="0" collapsed="false">
      <c r="A23" s="11" t="n">
        <v>18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39.75" hidden="false" customHeight="true" outlineLevel="0" collapsed="false">
      <c r="A24" s="11" t="n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39.75" hidden="false" customHeight="true" outlineLevel="0" collapsed="false">
      <c r="A25" s="11" t="n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5">
    <dataValidation allowBlank="false" error="Enter a year between 2021 and 2026 as a number." errorStyle="stop" errorTitle="Year" operator="between" showDropDown="false" showErrorMessage="true" showInputMessage="false" sqref="E6:E25" type="whole">
      <formula1>2021</formula1>
      <formula2>2026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G6:G25" type="list">
      <formula1>Vocabularies!$A$3:$A$7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H6:H25" type="list">
      <formula1>Vocabularies!$B$3:$B$7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I6:I25" type="list">
      <formula1>Vocabularies!$C$3:$C$6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J6:J25" type="list">
      <formula1>Vocabularies!$D$3:$D$7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5.75" hidden="false" customHeight="true" outlineLevel="0" collapsed="false">
      <c r="A1" s="13" t="s">
        <v>134</v>
      </c>
    </row>
    <row r="2" customFormat="false" ht="15" hidden="false" customHeight="false" outlineLevel="0" collapsed="false">
      <c r="A2" s="8" t="s">
        <v>135</v>
      </c>
    </row>
    <row r="4" customFormat="false" ht="15" hidden="false" customHeight="false" outlineLevel="0" collapsed="false">
      <c r="A4" s="14" t="s">
        <v>26</v>
      </c>
      <c r="B4" s="14" t="s">
        <v>136</v>
      </c>
    </row>
    <row r="5" customFormat="false" ht="15" hidden="false" customHeight="false" outlineLevel="0" collapsed="false">
      <c r="A5" s="11" t="n">
        <v>2021</v>
      </c>
      <c r="B5" s="11" t="n">
        <f aca="false">COUNTIF(Data!E$6:E$25,A5)</f>
        <v>0</v>
      </c>
    </row>
    <row r="6" customFormat="false" ht="15" hidden="false" customHeight="false" outlineLevel="0" collapsed="false">
      <c r="A6" s="11" t="n">
        <v>2022</v>
      </c>
      <c r="B6" s="11" t="n">
        <f aca="false">COUNTIF(Data!E$6:E$25,A6)</f>
        <v>1</v>
      </c>
    </row>
    <row r="7" customFormat="false" ht="15" hidden="false" customHeight="false" outlineLevel="0" collapsed="false">
      <c r="A7" s="11" t="n">
        <v>2023</v>
      </c>
      <c r="B7" s="11" t="n">
        <f aca="false">COUNTIF(Data!E$6:E$25,A7)</f>
        <v>1</v>
      </c>
    </row>
    <row r="8" customFormat="false" ht="15" hidden="false" customHeight="false" outlineLevel="0" collapsed="false">
      <c r="A8" s="11" t="n">
        <v>2024</v>
      </c>
      <c r="B8" s="11" t="n">
        <f aca="false">COUNTIF(Data!E$6:E$25,A8)</f>
        <v>5</v>
      </c>
    </row>
    <row r="9" customFormat="false" ht="15" hidden="false" customHeight="false" outlineLevel="0" collapsed="false">
      <c r="A9" s="11" t="n">
        <v>2025</v>
      </c>
      <c r="B9" s="11" t="n">
        <f aca="false">COUNTIF(Data!E$6:E$25,A9)</f>
        <v>4</v>
      </c>
    </row>
    <row r="10" customFormat="false" ht="15" hidden="false" customHeight="false" outlineLevel="0" collapsed="false">
      <c r="A10" s="11" t="n">
        <v>2026</v>
      </c>
      <c r="B10" s="11" t="n">
        <f aca="false">COUNTIF(Data!E$6:E$25,A10)</f>
        <v>2</v>
      </c>
    </row>
    <row r="12" customFormat="false" ht="15" hidden="false" customHeight="false" outlineLevel="0" collapsed="false">
      <c r="A12" s="14" t="s">
        <v>30</v>
      </c>
      <c r="B12" s="14" t="s">
        <v>136</v>
      </c>
    </row>
    <row r="13" customFormat="false" ht="15" hidden="false" customHeight="false" outlineLevel="0" collapsed="false">
      <c r="A13" s="11" t="s">
        <v>44</v>
      </c>
      <c r="B13" s="11" t="n">
        <f aca="false">COUNTIF(Data!I$6:I$25,A13)</f>
        <v>10</v>
      </c>
    </row>
    <row r="14" customFormat="false" ht="15" hidden="false" customHeight="false" outlineLevel="0" collapsed="false">
      <c r="A14" s="11" t="s">
        <v>55</v>
      </c>
      <c r="B14" s="11" t="n">
        <f aca="false">COUNTIF(Data!I$6:I$25,A14)</f>
        <v>3</v>
      </c>
    </row>
    <row r="15" customFormat="false" ht="15" hidden="false" customHeight="false" outlineLevel="0" collapsed="false">
      <c r="A15" s="11" t="s">
        <v>137</v>
      </c>
      <c r="B15" s="11" t="n">
        <f aca="false">COUNTIF(Data!I$6:I$25,A15)</f>
        <v>0</v>
      </c>
    </row>
    <row r="16" customFormat="false" ht="15" hidden="false" customHeight="false" outlineLevel="0" collapsed="false">
      <c r="A16" s="11" t="s">
        <v>138</v>
      </c>
      <c r="B16" s="11" t="n">
        <f aca="false">COUNTIF(Data!I$6:I$25,A16)</f>
        <v>0</v>
      </c>
    </row>
    <row r="18" customFormat="false" ht="15" hidden="false" customHeight="false" outlineLevel="0" collapsed="false">
      <c r="A18" s="14" t="s">
        <v>29</v>
      </c>
      <c r="B18" s="14" t="s">
        <v>136</v>
      </c>
    </row>
    <row r="19" customFormat="false" ht="15" hidden="false" customHeight="false" outlineLevel="0" collapsed="false">
      <c r="A19" s="11" t="s">
        <v>43</v>
      </c>
      <c r="B19" s="11" t="n">
        <f aca="false">COUNTIF(Data!H$6:H$25,A19)</f>
        <v>10</v>
      </c>
    </row>
    <row r="20" customFormat="false" ht="15" hidden="false" customHeight="false" outlineLevel="0" collapsed="false">
      <c r="A20" s="11" t="s">
        <v>139</v>
      </c>
      <c r="B20" s="11" t="n">
        <f aca="false">COUNTIF(Data!H$6:H$25,A20)</f>
        <v>0</v>
      </c>
    </row>
    <row r="21" customFormat="false" ht="15" hidden="false" customHeight="false" outlineLevel="0" collapsed="false">
      <c r="A21" s="11" t="s">
        <v>56</v>
      </c>
      <c r="B21" s="11" t="n">
        <f aca="false">COUNTIF(Data!H$6:H$25,A21)</f>
        <v>3</v>
      </c>
    </row>
    <row r="22" customFormat="false" ht="15" hidden="false" customHeight="false" outlineLevel="0" collapsed="false">
      <c r="A22" s="11" t="s">
        <v>140</v>
      </c>
      <c r="B22" s="11" t="n">
        <f aca="false">COUNTIF(Data!H$6:H$25,A22)</f>
        <v>0</v>
      </c>
    </row>
    <row r="23" customFormat="false" ht="15" hidden="false" customHeight="false" outlineLevel="0" collapsed="false">
      <c r="A23" s="11" t="s">
        <v>138</v>
      </c>
      <c r="B23" s="11" t="n">
        <f aca="false">COUNTIF(Data!H$6:H$25,A23)</f>
        <v>0</v>
      </c>
    </row>
    <row r="25" customFormat="false" ht="15" hidden="false" customHeight="false" outlineLevel="0" collapsed="false">
      <c r="A25" s="14" t="s">
        <v>31</v>
      </c>
      <c r="B25" s="14" t="s">
        <v>136</v>
      </c>
    </row>
    <row r="26" customFormat="false" ht="15" hidden="false" customHeight="false" outlineLevel="0" collapsed="false">
      <c r="A26" s="11" t="s">
        <v>43</v>
      </c>
      <c r="B26" s="11" t="n">
        <f aca="false">COUNTIF(Data!J$6:J$25,A26)</f>
        <v>9</v>
      </c>
    </row>
    <row r="27" customFormat="false" ht="15" hidden="false" customHeight="false" outlineLevel="0" collapsed="false">
      <c r="A27" s="11" t="s">
        <v>139</v>
      </c>
      <c r="B27" s="11" t="n">
        <f aca="false">COUNTIF(Data!J$6:J$25,A27)</f>
        <v>0</v>
      </c>
    </row>
    <row r="28" customFormat="false" ht="15" hidden="false" customHeight="false" outlineLevel="0" collapsed="false">
      <c r="A28" s="11" t="s">
        <v>56</v>
      </c>
      <c r="B28" s="11" t="n">
        <f aca="false">COUNTIF(Data!J$6:J$25,A28)</f>
        <v>4</v>
      </c>
    </row>
    <row r="29" customFormat="false" ht="15" hidden="false" customHeight="false" outlineLevel="0" collapsed="false">
      <c r="A29" s="11" t="s">
        <v>140</v>
      </c>
      <c r="B29" s="11" t="n">
        <f aca="false">COUNTIF(Data!J$6:J$25,A29)</f>
        <v>0</v>
      </c>
    </row>
    <row r="30" customFormat="false" ht="15" hidden="false" customHeight="false" outlineLevel="0" collapsed="false">
      <c r="A30" s="11" t="s">
        <v>141</v>
      </c>
      <c r="B30" s="11" t="n">
        <f aca="false">COUNTIF(Data!J$6:J$25,A30)</f>
        <v>0</v>
      </c>
    </row>
    <row r="32" customFormat="false" ht="15" hidden="false" customHeight="false" outlineLevel="0" collapsed="false">
      <c r="A32" s="14" t="s">
        <v>28</v>
      </c>
      <c r="B32" s="14" t="s">
        <v>136</v>
      </c>
    </row>
    <row r="33" customFormat="false" ht="15" hidden="false" customHeight="false" outlineLevel="0" collapsed="false">
      <c r="A33" s="11" t="s">
        <v>54</v>
      </c>
      <c r="B33" s="11" t="n">
        <f aca="false">COUNTIF(Data!G$6:G$25,A33)</f>
        <v>1</v>
      </c>
    </row>
    <row r="34" customFormat="false" ht="15" hidden="false" customHeight="false" outlineLevel="0" collapsed="false">
      <c r="A34" s="11" t="s">
        <v>142</v>
      </c>
      <c r="B34" s="11" t="n">
        <f aca="false">COUNTIF(Data!G$6:G$25,A34)</f>
        <v>0</v>
      </c>
    </row>
    <row r="35" customFormat="false" ht="15" hidden="false" customHeight="false" outlineLevel="0" collapsed="false">
      <c r="A35" s="11" t="s">
        <v>42</v>
      </c>
      <c r="B35" s="11" t="n">
        <f aca="false">COUNTIF(Data!G$6:G$25,A35)</f>
        <v>11</v>
      </c>
    </row>
    <row r="36" customFormat="false" ht="15" hidden="false" customHeight="false" outlineLevel="0" collapsed="false">
      <c r="A36" s="11" t="s">
        <v>102</v>
      </c>
      <c r="B36" s="11" t="n">
        <f aca="false">COUNTIF(Data!G$6:G$25,A36)</f>
        <v>1</v>
      </c>
    </row>
    <row r="37" customFormat="false" ht="15" hidden="false" customHeight="false" outlineLevel="0" collapsed="false">
      <c r="A37" s="11" t="s">
        <v>138</v>
      </c>
      <c r="B37" s="11" t="n">
        <f aca="false">COUNTIF(Data!G$6:G$25,A37)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4" min="1" style="0" width="26"/>
  </cols>
  <sheetData>
    <row r="1" customFormat="false" ht="15.75" hidden="false" customHeight="true" outlineLevel="0" collapsed="false">
      <c r="A1" s="13" t="s">
        <v>143</v>
      </c>
    </row>
    <row r="2" customFormat="false" ht="15" hidden="false" customHeight="false" outlineLevel="0" collapsed="false">
      <c r="A2" s="14" t="s">
        <v>28</v>
      </c>
      <c r="B2" s="14" t="s">
        <v>29</v>
      </c>
      <c r="C2" s="14" t="s">
        <v>30</v>
      </c>
      <c r="D2" s="14" t="s">
        <v>31</v>
      </c>
    </row>
    <row r="3" customFormat="false" ht="15" hidden="false" customHeight="false" outlineLevel="0" collapsed="false">
      <c r="A3" s="11" t="s">
        <v>54</v>
      </c>
      <c r="B3" s="11" t="s">
        <v>43</v>
      </c>
      <c r="C3" s="11" t="s">
        <v>44</v>
      </c>
      <c r="D3" s="11" t="s">
        <v>43</v>
      </c>
    </row>
    <row r="4" customFormat="false" ht="15" hidden="false" customHeight="false" outlineLevel="0" collapsed="false">
      <c r="A4" s="11" t="s">
        <v>142</v>
      </c>
      <c r="B4" s="11" t="s">
        <v>139</v>
      </c>
      <c r="C4" s="11" t="s">
        <v>55</v>
      </c>
      <c r="D4" s="11" t="s">
        <v>139</v>
      </c>
    </row>
    <row r="5" customFormat="false" ht="15" hidden="false" customHeight="false" outlineLevel="0" collapsed="false">
      <c r="A5" s="11" t="s">
        <v>42</v>
      </c>
      <c r="B5" s="11" t="s">
        <v>56</v>
      </c>
      <c r="C5" s="11" t="s">
        <v>137</v>
      </c>
      <c r="D5" s="11" t="s">
        <v>56</v>
      </c>
    </row>
    <row r="6" customFormat="false" ht="15" hidden="false" customHeight="false" outlineLevel="0" collapsed="false">
      <c r="A6" s="11" t="s">
        <v>102</v>
      </c>
      <c r="B6" s="11" t="s">
        <v>140</v>
      </c>
      <c r="C6" s="11" t="s">
        <v>138</v>
      </c>
      <c r="D6" s="11" t="s">
        <v>140</v>
      </c>
    </row>
    <row r="7" customFormat="false" ht="15" hidden="false" customHeight="false" outlineLevel="0" collapsed="false">
      <c r="A7" s="11" t="s">
        <v>138</v>
      </c>
      <c r="B7" s="11" t="s">
        <v>138</v>
      </c>
      <c r="D7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2026-09-16T11:13:46Z</dcterms:created>
  <dc:creator>openpyxl</dc:creator>
  <dc:description/>
  <dc:language>en-US</dc:language>
  <cp:lastModifiedBy>Anshuman Sahoo</cp:lastModifiedBy>
  <dcterms:modified xsi:type="dcterms:W3CDTF">2026-10-27T23:21:24Z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